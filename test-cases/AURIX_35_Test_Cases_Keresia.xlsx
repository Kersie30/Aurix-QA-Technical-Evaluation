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1836862d5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a34c868edc5461c"/>
    <x:sheet xmlns:r="http://schemas.openxmlformats.org/officeDocument/2006/relationships" name="Summary" sheetId="2" r:id="Rafae905b4f0b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2204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041"/>
      </x:patternFill>
    </x:fill>
    <x:fill>
      <x:patternFill patternType="solid">
        <x:fgColor rgb="FFE8EDF5"/>
      </x:patternFill>
    </x:fill>
    <x:fill>
      <x:patternFill patternType="solid">
        <x:fgColor rgb="FFD19B2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bb0bd13f44f67" /><Relationship Type="http://schemas.openxmlformats.org/officeDocument/2006/relationships/theme" Target="/xl/theme/theme1.xml" Id="Ra3f3bcfac394426d" /><Relationship Type="http://schemas.openxmlformats.org/officeDocument/2006/relationships/sharedStrings" Target="/xl/sharedStrings.xml" Id="Rdaf6220eca5d4d43" /><Relationship Type="http://schemas.openxmlformats.org/officeDocument/2006/relationships/worksheet" Target="/xl/worksheets/sheet1.xml" Id="R8a34c868edc5461c" /><Relationship Type="http://schemas.openxmlformats.org/officeDocument/2006/relationships/worksheet" Target="/xl/worksheets/sheet2.xml" Id="Rafae905b4f0b4b1f" /></Relationships>
</file>

<file path=xl/tables/table1.xml><?xml version="1.0" encoding="utf-8"?>
<x:table xmlns:x="http://schemas.openxmlformats.org/spreadsheetml/2006/main" id="1" name="AurixTestCases" displayName="AurixTestCases" ref="A4:K39" headerRowCount="1" totalsRowCount="0" totalsRowShown="0"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Expected Result"/>
    <x:tableColumn id="7" name="Actual Result"/>
    <x:tableColumn id="8" name="Status"/>
    <x:tableColumn id="9" name="Priority"/>
    <x:tableColumn id="10" name="Test Type"/>
    <x:tableColumn id="11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4bc68602564b6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1" hidden="0" customWidth="1"/>
    <x:col min="4" max="4" width="34" hidden="0" customWidth="1"/>
    <x:col min="5" max="5" width="48" hidden="0" customWidth="1"/>
    <x:col min="6" max="6" width="50" hidden="0" customWidth="1"/>
    <x:col min="7" max="7" width="38" hidden="0" customWidth="1"/>
    <x:col min="8" max="8" width="12" hidden="0" customWidth="1"/>
    <x:col min="9" max="9" width="10" hidden="0" customWidth="1"/>
    <x:col min="10" max="10" width="24" hidden="0" customWidth="1"/>
    <x:col min="11" max="11" width="28" hidden="0" customWidth="1"/>
  </x:cols>
  <x:sheetData>
    <x:row r="1" ht="28" customHeight="1">
      <x:c r="A1" s="5" t="str">
        <x:v>AURIX / HOPn QA TECHNICAL EVALUATION —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Prepared by: Keresia | 35 risk-based test cases | Initial execution status: Not Run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2" t="str">
        <x:v>Test Case ID</x:v>
      </x:c>
      <x:c r="B4" s="22" t="str">
        <x:v>Module</x:v>
      </x:c>
      <x:c r="C4" s="22" t="str">
        <x:v>Test Scenario</x:v>
      </x:c>
      <x:c r="D4" s="22" t="str">
        <x:v>Preconditions</x:v>
      </x:c>
      <x:c r="E4" s="22" t="str">
        <x:v>Test Steps</x:v>
      </x:c>
      <x:c r="F4" s="22" t="str">
        <x:v>Expected Result</x:v>
      </x:c>
      <x:c r="G4" s="22" t="str">
        <x:v>Actual Result</x:v>
      </x:c>
      <x:c r="H4" s="22" t="str">
        <x:v>Status</x:v>
      </x:c>
      <x:c r="I4" s="22" t="str">
        <x:v>Priority</x:v>
      </x:c>
      <x:c r="J4" s="22" t="str">
        <x:v>Test Type</x:v>
      </x:c>
      <x:c r="K4" s="22" t="str">
        <x:v>Evidence / Notes</x:v>
      </x:c>
    </x:row>
    <x:row r="5">
      <x:c r="A5" s="30" t="str">
        <x:v>REG-01</x:v>
      </x:c>
      <x:c r="B5" s="30" t="str">
        <x:v>Registration</x:v>
      </x:c>
      <x:c r="C5" s="30" t="str">
        <x:v>Register with valid details</x:v>
      </x:c>
      <x:c r="D5" s="30" t="str">
        <x:v>User is logged out; unused email address available.</x:v>
      </x:c>
      <x:c r="E5" s="30" t="str">
        <x:v>1. Open registration page.
2. Enter valid required details.
3. Enter a strong password and matching confirmation.
4. Accept required terms.
5. Submit registration.</x:v>
      </x:c>
      <x:c r="F5" s="30" t="str">
        <x:v>Account is created successfully. Any required verification step is presented and the user is not given inappropriate access before completing mandatory verification.</x:v>
      </x:c>
      <x:c r="G5" s="30" t="str"/>
      <x:c r="H5" s="30" t="str">
        <x:v>Not Run</x:v>
      </x:c>
      <x:c r="I5" s="30" t="str">
        <x:v>P1</x:v>
      </x:c>
      <x:c r="J5" s="30" t="str">
        <x:v>Functional / Positive</x:v>
      </x:c>
      <x:c r="K5" s="30" t="str"/>
    </x:row>
    <x:row r="6">
      <x:c r="A6" s="30" t="str">
        <x:v>REG-02</x:v>
      </x:c>
      <x:c r="B6" s="30" t="str">
        <x:v>Registration</x:v>
      </x:c>
      <x:c r="C6" s="30" t="str">
        <x:v>Reject invalid email format</x:v>
      </x:c>
      <x:c r="D6" s="30" t="str">
        <x:v>User is logged out and registration page is open.</x:v>
      </x:c>
      <x:c r="E6" s="30" t="str">
        <x:v>1. Enter an invalid email such as user@ or user.com.
2. Complete other required fields with valid data.
3. Submit.</x:v>
      </x:c>
      <x:c r="F6" s="30" t="str">
        <x:v>Registration is prevented and a clear email-format validation message is displayed.</x:v>
      </x:c>
      <x:c r="G6" s="30" t="str"/>
      <x:c r="H6" s="30" t="str">
        <x:v>Not Run</x:v>
      </x:c>
      <x:c r="I6" s="30" t="str">
        <x:v>P2</x:v>
      </x:c>
      <x:c r="J6" s="30" t="str">
        <x:v>Functional / Negative</x:v>
      </x:c>
      <x:c r="K6" s="30" t="str"/>
    </x:row>
    <x:row r="7">
      <x:c r="A7" s="30" t="str">
        <x:v>REG-03</x:v>
      </x:c>
      <x:c r="B7" s="30" t="str">
        <x:v>Registration</x:v>
      </x:c>
      <x:c r="C7" s="30" t="str">
        <x:v>Validate required fields</x:v>
      </x:c>
      <x:c r="D7" s="30" t="str">
        <x:v>Registration page is open.</x:v>
      </x:c>
      <x:c r="E7" s="30" t="str">
        <x:v>1. Leave required fields empty.
2. Attempt to submit.</x:v>
      </x:c>
      <x:c r="F7" s="30" t="str">
        <x:v>Submission is blocked and each required field is clearly identified.</x:v>
      </x:c>
      <x:c r="G7" s="30" t="str"/>
      <x:c r="H7" s="30" t="str">
        <x:v>Not Run</x:v>
      </x:c>
      <x:c r="I7" s="30" t="str">
        <x:v>P2</x:v>
      </x:c>
      <x:c r="J7" s="30" t="str">
        <x:v>Functional / Negative</x:v>
      </x:c>
      <x:c r="K7" s="30" t="str"/>
    </x:row>
    <x:row r="8">
      <x:c r="A8" s="30" t="str">
        <x:v>REG-04</x:v>
      </x:c>
      <x:c r="B8" s="30" t="str">
        <x:v>Registration</x:v>
      </x:c>
      <x:c r="C8" s="30" t="str">
        <x:v>Reject weak password</x:v>
      </x:c>
      <x:c r="D8" s="30" t="str">
        <x:v>Registration page is open.</x:v>
      </x:c>
      <x:c r="E8" s="30" t="str">
        <x:v>1. Enter valid registration data.
2. Enter a weak password that does not meet policy.
3. Submit.</x:v>
      </x:c>
      <x:c r="F8" s="30" t="str">
        <x:v>Weak password is rejected and password requirements are clearly communicated.</x:v>
      </x:c>
      <x:c r="G8" s="30" t="str"/>
      <x:c r="H8" s="30" t="str">
        <x:v>Not Run</x:v>
      </x:c>
      <x:c r="I8" s="30" t="str">
        <x:v>P1</x:v>
      </x:c>
      <x:c r="J8" s="30" t="str">
        <x:v>Functional / Security</x:v>
      </x:c>
      <x:c r="K8" s="30" t="str"/>
    </x:row>
    <x:row r="9">
      <x:c r="A9" s="30" t="str">
        <x:v>REG-05</x:v>
      </x:c>
      <x:c r="B9" s="30" t="str">
        <x:v>Registration</x:v>
      </x:c>
      <x:c r="C9" s="30" t="str">
        <x:v>Reject duplicate email registration</x:v>
      </x:c>
      <x:c r="D9" s="30" t="str">
        <x:v>An existing test account email is available.</x:v>
      </x:c>
      <x:c r="E9" s="30" t="str">
        <x:v>1. Open registration.
2. Enter an email already registered.
3. Complete remaining fields.
4. Submit.</x:v>
      </x:c>
      <x:c r="F9" s="30" t="str">
        <x:v>Duplicate account creation is prevented and a safe, understandable response is shown without exposing unnecessary account information.</x:v>
      </x:c>
      <x:c r="G9" s="30" t="str"/>
      <x:c r="H9" s="30" t="str">
        <x:v>Not Run</x:v>
      </x:c>
      <x:c r="I9" s="30" t="str">
        <x:v>P1</x:v>
      </x:c>
      <x:c r="J9" s="30" t="str">
        <x:v>Functional / Security</x:v>
      </x:c>
      <x:c r="K9" s="30" t="str"/>
    </x:row>
    <x:row r="10">
      <x:c r="A10" s="30" t="str">
        <x:v>REG-06</x:v>
      </x:c>
      <x:c r="B10" s="30" t="str">
        <x:v>Registration</x:v>
      </x:c>
      <x:c r="C10" s="30" t="str">
        <x:v>Reject mismatched password confirmation</x:v>
      </x:c>
      <x:c r="D10" s="30" t="str">
        <x:v>Registration page is open.</x:v>
      </x:c>
      <x:c r="E10" s="30" t="str">
        <x:v>1. Enter valid user data.
2. Enter a valid password.
3. Enter a different confirmation password.
4. Submit.</x:v>
      </x:c>
      <x:c r="F10" s="30" t="str">
        <x:v>Registration is prevented and a clear password-mismatch message is shown.</x:v>
      </x:c>
      <x:c r="G10" s="30" t="str"/>
      <x:c r="H10" s="30" t="str">
        <x:v>Not Run</x:v>
      </x:c>
      <x:c r="I10" s="30" t="str">
        <x:v>P2</x:v>
      </x:c>
      <x:c r="J10" s="30" t="str">
        <x:v>Functional / Negative</x:v>
      </x:c>
      <x:c r="K10" s="30" t="str"/>
    </x:row>
    <x:row r="11">
      <x:c r="A11" s="30" t="str">
        <x:v>REG-07</x:v>
      </x:c>
      <x:c r="B11" s="30" t="str">
        <x:v>Registration</x:v>
      </x:c>
      <x:c r="C11" s="30" t="str">
        <x:v>Prevent registration without accepting required terms</x:v>
      </x:c>
      <x:c r="D11" s="30" t="str">
        <x:v>Registration page is open.</x:v>
      </x:c>
      <x:c r="E11" s="30" t="str">
        <x:v>1. Complete all registration fields correctly.
2. Do not accept required terms/consent.
3. Submit.</x:v>
      </x:c>
      <x:c r="F11" s="30" t="str">
        <x:v>Registration is blocked until mandatory terms/consent are accepted.</x:v>
      </x:c>
      <x:c r="G11" s="30" t="str"/>
      <x:c r="H11" s="30" t="str">
        <x:v>Not Run</x:v>
      </x:c>
      <x:c r="I11" s="30" t="str">
        <x:v>P2</x:v>
      </x:c>
      <x:c r="J11" s="30" t="str">
        <x:v>Functional / Compliance</x:v>
      </x:c>
      <x:c r="K11" s="30" t="str"/>
    </x:row>
    <x:row r="12">
      <x:c r="A12" s="30" t="str">
        <x:v>AUTH-01</x:v>
      </x:c>
      <x:c r="B12" s="30" t="str">
        <x:v>Login &amp; Session</x:v>
      </x:c>
      <x:c r="C12" s="30" t="str">
        <x:v>Login with valid credentials</x:v>
      </x:c>
      <x:c r="D12" s="30" t="str">
        <x:v>Verified active test account exists.</x:v>
      </x:c>
      <x:c r="E12" s="30" t="str">
        <x:v>1. Open login page.
2. Enter valid email and password.
3. Submit.</x:v>
      </x:c>
      <x:c r="F12" s="30" t="str">
        <x:v>User is authenticated and redirected to the correct authenticated landing page without exposing sensitive authentication data.</x:v>
      </x:c>
      <x:c r="G12" s="30" t="str"/>
      <x:c r="H12" s="30" t="str">
        <x:v>Not Run</x:v>
      </x:c>
      <x:c r="I12" s="30" t="str">
        <x:v>P0</x:v>
      </x:c>
      <x:c r="J12" s="30" t="str">
        <x:v>Functional / Security</x:v>
      </x:c>
      <x:c r="K12" s="30" t="str"/>
    </x:row>
    <x:row r="13">
      <x:c r="A13" s="30" t="str">
        <x:v>AUTH-02</x:v>
      </x:c>
      <x:c r="B13" s="30" t="str">
        <x:v>Login &amp; Session</x:v>
      </x:c>
      <x:c r="C13" s="30" t="str">
        <x:v>Reject invalid password</x:v>
      </x:c>
      <x:c r="D13" s="30" t="str">
        <x:v>Active test account exists.</x:v>
      </x:c>
      <x:c r="E13" s="30" t="str">
        <x:v>1. Enter a valid registered email.
2. Enter an incorrect password.
3. Submit.</x:v>
      </x:c>
      <x:c r="F13" s="30" t="str">
        <x:v>Login fails with a generic, clear error and no authenticated session is created.</x:v>
      </x:c>
      <x:c r="G13" s="30" t="str"/>
      <x:c r="H13" s="30" t="str">
        <x:v>Not Run</x:v>
      </x:c>
      <x:c r="I13" s="30" t="str">
        <x:v>P0</x:v>
      </x:c>
      <x:c r="J13" s="30" t="str">
        <x:v>Functional / Security</x:v>
      </x:c>
      <x:c r="K13" s="30" t="str"/>
    </x:row>
    <x:row r="14">
      <x:c r="A14" s="30" t="str">
        <x:v>AUTH-03</x:v>
      </x:c>
      <x:c r="B14" s="30" t="str">
        <x:v>Login &amp; Session</x:v>
      </x:c>
      <x:c r="C14" s="30" t="str">
        <x:v>Validate empty login fields</x:v>
      </x:c>
      <x:c r="D14" s="30" t="str">
        <x:v>Login page is open.</x:v>
      </x:c>
      <x:c r="E14" s="30" t="str">
        <x:v>1. Leave email and password empty.
2. Submit.</x:v>
      </x:c>
      <x:c r="F14" s="30" t="str">
        <x:v>Login is prevented and required-field validation is displayed.</x:v>
      </x:c>
      <x:c r="G14" s="30" t="str"/>
      <x:c r="H14" s="30" t="str">
        <x:v>Not Run</x:v>
      </x:c>
      <x:c r="I14" s="30" t="str">
        <x:v>P2</x:v>
      </x:c>
      <x:c r="J14" s="30" t="str">
        <x:v>Functional / Negative</x:v>
      </x:c>
      <x:c r="K14" s="30" t="str"/>
    </x:row>
    <x:row r="15">
      <x:c r="A15" s="30" t="str">
        <x:v>AUTH-04</x:v>
      </x:c>
      <x:c r="B15" s="30" t="str">
        <x:v>Login &amp; Session</x:v>
      </x:c>
      <x:c r="C15" s="30" t="str">
        <x:v>Handle repeated failed login attempts safely</x:v>
      </x:c>
      <x:c r="D15" s="30" t="str">
        <x:v>Active test account exists; testing remains non-destructive.</x:v>
      </x:c>
      <x:c r="E15" s="30" t="str">
        <x:v>1. Attempt login several times with an incorrect password.
2. Observe messages and account/session behavior.</x:v>
      </x:c>
      <x:c r="F15" s="30" t="str">
        <x:v>Application applies appropriate protection or throttling behavior where designed, does not authenticate the user, and does not expose sensitive account details.</x:v>
      </x:c>
      <x:c r="G15" s="30" t="str"/>
      <x:c r="H15" s="30" t="str">
        <x:v>Not Run</x:v>
      </x:c>
      <x:c r="I15" s="30" t="str">
        <x:v>P1</x:v>
      </x:c>
      <x:c r="J15" s="30" t="str">
        <x:v>Security-oriented</x:v>
      </x:c>
      <x:c r="K15" s="30" t="str"/>
    </x:row>
    <x:row r="16">
      <x:c r="A16" s="30" t="str">
        <x:v>AUTH-05</x:v>
      </x:c>
      <x:c r="B16" s="30" t="str">
        <x:v>Login &amp; Session</x:v>
      </x:c>
      <x:c r="C16" s="30" t="str">
        <x:v>Logout invalidates authenticated session</x:v>
      </x:c>
      <x:c r="D16" s="30" t="str">
        <x:v>User is logged in.</x:v>
      </x:c>
      <x:c r="E16" s="30" t="str">
        <x:v>1. Navigate to an authenticated page.
2. Log out.
3. Use browser Back or revisit the protected URL.</x:v>
      </x:c>
      <x:c r="F16" s="30" t="str">
        <x:v>User is logged out, protected content is no longer accessible, and re-authentication is required.</x:v>
      </x:c>
      <x:c r="G16" s="30" t="str"/>
      <x:c r="H16" s="30" t="str">
        <x:v>Not Run</x:v>
      </x:c>
      <x:c r="I16" s="30" t="str">
        <x:v>P0</x:v>
      </x:c>
      <x:c r="J16" s="30" t="str">
        <x:v>Functional / Security</x:v>
      </x:c>
      <x:c r="K16" s="30" t="str"/>
    </x:row>
    <x:row r="17">
      <x:c r="A17" s="30" t="str">
        <x:v>PROF-01</x:v>
      </x:c>
      <x:c r="B17" s="30" t="str">
        <x:v>User Profile</x:v>
      </x:c>
      <x:c r="C17" s="30" t="str">
        <x:v>View and edit profile with valid data</x:v>
      </x:c>
      <x:c r="D17" s="30" t="str">
        <x:v>User is authenticated.</x:v>
      </x:c>
      <x:c r="E17" s="30" t="str">
        <x:v>1. Open profile.
2. Record current values.
3. Edit an allowed field with valid data.
4. Save.
5. Refresh/reopen profile.</x:v>
      </x:c>
      <x:c r="F17" s="30" t="str">
        <x:v>Changes are saved successfully and persist after refresh/re-login as appropriate.</x:v>
      </x:c>
      <x:c r="G17" s="30" t="str"/>
      <x:c r="H17" s="30" t="str">
        <x:v>Not Run</x:v>
      </x:c>
      <x:c r="I17" s="30" t="str">
        <x:v>P2</x:v>
      </x:c>
      <x:c r="J17" s="30" t="str">
        <x:v>Functional</x:v>
      </x:c>
      <x:c r="K17" s="30" t="str"/>
    </x:row>
    <x:row r="18">
      <x:c r="A18" s="30" t="str">
        <x:v>PROF-02</x:v>
      </x:c>
      <x:c r="B18" s="30" t="str">
        <x:v>User Profile</x:v>
      </x:c>
      <x:c r="C18" s="30" t="str">
        <x:v>Validate invalid profile input</x:v>
      </x:c>
      <x:c r="D18" s="30" t="str">
        <x:v>User is authenticated and profile edit is available.</x:v>
      </x:c>
      <x:c r="E18" s="30" t="str">
        <x:v>1. Open profile edit.
2. Enter invalid or unsupported input in an editable field.
3. Save.</x:v>
      </x:c>
      <x:c r="F18" s="30" t="str">
        <x:v>Invalid data is rejected with clear validation and previously valid stored data is not corrupted.</x:v>
      </x:c>
      <x:c r="G18" s="30" t="str"/>
      <x:c r="H18" s="30" t="str">
        <x:v>Not Run</x:v>
      </x:c>
      <x:c r="I18" s="30" t="str">
        <x:v>P2</x:v>
      </x:c>
      <x:c r="J18" s="30" t="str">
        <x:v>Functional / Negative</x:v>
      </x:c>
      <x:c r="K18" s="30" t="str"/>
    </x:row>
    <x:row r="19">
      <x:c r="A19" s="30" t="str">
        <x:v>DASH-01</x:v>
      </x:c>
      <x:c r="B19" s="30" t="str">
        <x:v>Dashboard</x:v>
      </x:c>
      <x:c r="C19" s="30" t="str">
        <x:v>Verify portfolio and asset values are internally consistent</x:v>
      </x:c>
      <x:c r="D19" s="30" t="str">
        <x:v>User is authenticated and has portfolio data.</x:v>
      </x:c>
      <x:c r="E19" s="30" t="str">
        <x:v>1. Record total portfolio value.
2. Record displayed Gold, Silver, ETF, and Cash values.
3. Compare dashboard totals and other accessible portfolio views.</x:v>
      </x:c>
      <x:c r="F19" s="30" t="str">
        <x:v>Displayed totals and component values are mathematically and functionally consistent across the application.</x:v>
      </x:c>
      <x:c r="G19" s="30" t="str"/>
      <x:c r="H19" s="30" t="str">
        <x:v>Not Run</x:v>
      </x:c>
      <x:c r="I19" s="30" t="str">
        <x:v>P0</x:v>
      </x:c>
      <x:c r="J19" s="30" t="str">
        <x:v>Functional / Data Integrity</x:v>
      </x:c>
      <x:c r="K19" s="30" t="str"/>
    </x:row>
    <x:row r="20">
      <x:c r="A20" s="30" t="str">
        <x:v>DASH-02</x:v>
      </x:c>
      <x:c r="B20" s="30" t="str">
        <x:v>Dashboard</x:v>
      </x:c>
      <x:c r="C20" s="30" t="str">
        <x:v>Verify recent transactions and AI insights render correctly</x:v>
      </x:c>
      <x:c r="D20" s="30" t="str">
        <x:v>User is authenticated; account has relevant data if available.</x:v>
      </x:c>
      <x:c r="E20" s="30" t="str">
        <x:v>1. Open dashboard.
2. Inspect recent transactions.
3. Inspect AI insights section.
4. Check loading/empty/error states where applicable.</x:v>
      </x:c>
      <x:c r="F20" s="30" t="str">
        <x:v>Sections load without broken UI; transactions match available history and empty/loading states are understandable.</x:v>
      </x:c>
      <x:c r="G20" s="30" t="str"/>
      <x:c r="H20" s="30" t="str">
        <x:v>Not Run</x:v>
      </x:c>
      <x:c r="I20" s="30" t="str">
        <x:v>P2</x:v>
      </x:c>
      <x:c r="J20" s="30" t="str">
        <x:v>Functional / UI-UX</x:v>
      </x:c>
      <x:c r="K20" s="30" t="str"/>
    </x:row>
    <x:row r="21">
      <x:c r="A21" s="30" t="str">
        <x:v>GOLD-01</x:v>
      </x:c>
      <x:c r="B21" s="30" t="str">
        <x:v>Gold Wallet</x:v>
      </x:c>
      <x:c r="C21" s="30" t="str">
        <x:v>Buy gold with a valid amount</x:v>
      </x:c>
      <x:c r="D21" s="30" t="str">
        <x:v>Authenticated eligible user; sufficient balance/test funds available; gold trading enabled.</x:v>
      </x:c>
      <x:c r="E21" s="30" t="str">
        <x:v>1. Open Gold wallet.
2. Select Buy.
3. Enter a valid amount.
4. Review details.
5. Confirm transaction.</x:v>
      </x:c>
      <x:c r="F21" s="30" t="str">
        <x:v>Transaction is created once, correct amount/value is shown, confirmation is clear, and wallet/portfolio/history update consistently.</x:v>
      </x:c>
      <x:c r="G21" s="30" t="str"/>
      <x:c r="H21" s="30" t="str">
        <x:v>Not Run</x:v>
      </x:c>
      <x:c r="I21" s="30" t="str">
        <x:v>P0</x:v>
      </x:c>
      <x:c r="J21" s="30" t="str">
        <x:v>Functional / Financial</x:v>
      </x:c>
      <x:c r="K21" s="30" t="str"/>
    </x:row>
    <x:row r="22">
      <x:c r="A22" s="30" t="str">
        <x:v>GOLD-02</x:v>
      </x:c>
      <x:c r="B22" s="30" t="str">
        <x:v>Gold Wallet</x:v>
      </x:c>
      <x:c r="C22" s="30" t="str">
        <x:v>Validate invalid and insufficient gold buy amounts</x:v>
      </x:c>
      <x:c r="D22" s="30" t="str">
        <x:v>User is authenticated and Gold wallet is accessible.</x:v>
      </x:c>
      <x:c r="E22" s="30" t="str">
        <x:v>1. Attempt amount 0.
2. Attempt a negative amount if field permits entry.
3. Attempt an amount above available balance.
4. Observe validation.</x:v>
      </x:c>
      <x:c r="F22" s="30" t="str">
        <x:v>Invalid/insufficient amounts cannot be submitted; no transaction is created and clear validation is shown.</x:v>
      </x:c>
      <x:c r="G22" s="30" t="str"/>
      <x:c r="H22" s="30" t="str">
        <x:v>Not Run</x:v>
      </x:c>
      <x:c r="I22" s="30" t="str">
        <x:v>P0</x:v>
      </x:c>
      <x:c r="J22" s="30" t="str">
        <x:v>Boundary / Financial</x:v>
      </x:c>
      <x:c r="K22" s="30" t="str"/>
    </x:row>
    <x:row r="23">
      <x:c r="A23" s="30" t="str">
        <x:v>GOLD-03</x:v>
      </x:c>
      <x:c r="B23" s="30" t="str">
        <x:v>Gold Wallet</x:v>
      </x:c>
      <x:c r="C23" s="30" t="str">
        <x:v>Sell gold and verify transaction history</x:v>
      </x:c>
      <x:c r="D23" s="30" t="str">
        <x:v>Authenticated user owns sufficient test gold balance.</x:v>
      </x:c>
      <x:c r="E23" s="30" t="str">
        <x:v>1. Open Gold wallet.
2. Select Sell.
3. Enter a valid amount within holdings.
4. Confirm.
5. Open transaction history.</x:v>
      </x:c>
      <x:c r="F23" s="30" t="str">
        <x:v>Sell completes once, Gold balance decreases correctly, proceeds update correctly, and transaction history records correct type, amount, time, and status.</x:v>
      </x:c>
      <x:c r="G23" s="30" t="str"/>
      <x:c r="H23" s="30" t="str">
        <x:v>Not Run</x:v>
      </x:c>
      <x:c r="I23" s="30" t="str">
        <x:v>P0</x:v>
      </x:c>
      <x:c r="J23" s="30" t="str">
        <x:v>Functional / Financial</x:v>
      </x:c>
      <x:c r="K23" s="30" t="str"/>
    </x:row>
    <x:row r="24">
      <x:c r="A24" s="30" t="str">
        <x:v>SILV-01</x:v>
      </x:c>
      <x:c r="B24" s="30" t="str">
        <x:v>Silver Wallet</x:v>
      </x:c>
      <x:c r="C24" s="30" t="str">
        <x:v>Buy and sell silver with valid amounts</x:v>
      </x:c>
      <x:c r="D24" s="30" t="str">
        <x:v>Authenticated eligible user; sufficient test balance/holdings available.</x:v>
      </x:c>
      <x:c r="E24" s="30" t="str">
        <x:v>1. Open Silver wallet.
2. Perform a valid Buy and verify update.
3. Perform a valid Sell within holdings.
4. Review history.</x:v>
      </x:c>
      <x:c r="F24" s="30" t="str">
        <x:v>Both transactions complete once with correct balances and accurate transaction records.</x:v>
      </x:c>
      <x:c r="G24" s="30" t="str"/>
      <x:c r="H24" s="30" t="str">
        <x:v>Not Run</x:v>
      </x:c>
      <x:c r="I24" s="30" t="str">
        <x:v>P0</x:v>
      </x:c>
      <x:c r="J24" s="30" t="str">
        <x:v>Functional / Financial</x:v>
      </x:c>
      <x:c r="K24" s="30" t="str"/>
    </x:row>
    <x:row r="25">
      <x:c r="A25" s="30" t="str">
        <x:v>SILV-02</x:v>
      </x:c>
      <x:c r="B25" s="30" t="str">
        <x:v>Silver Wallet</x:v>
      </x:c>
      <x:c r="C25" s="30" t="str">
        <x:v>Validate zero, negative and insufficient silver amounts</x:v>
      </x:c>
      <x:c r="D25" s="30" t="str">
        <x:v>User is authenticated and Silver wallet is accessible.</x:v>
      </x:c>
      <x:c r="E25" s="30" t="str">
        <x:v>1. Attempt buy/sell with zero.
2. Attempt negative amount if input allows.
3. Attempt buy above cash balance or sell above holdings.</x:v>
      </x:c>
      <x:c r="F25" s="30" t="str">
        <x:v>Application blocks invalid transactions with clear validation and no incorrect balance or transaction record is created.</x:v>
      </x:c>
      <x:c r="G25" s="30" t="str"/>
      <x:c r="H25" s="30" t="str">
        <x:v>Not Run</x:v>
      </x:c>
      <x:c r="I25" s="30" t="str">
        <x:v>P0</x:v>
      </x:c>
      <x:c r="J25" s="30" t="str">
        <x:v>Boundary / Financial</x:v>
      </x:c>
      <x:c r="K25" s="30" t="str"/>
    </x:row>
    <x:row r="26">
      <x:c r="A26" s="30" t="str">
        <x:v>ETF-01</x:v>
      </x:c>
      <x:c r="B26" s="30" t="str">
        <x:v>ETF Catalogue</x:v>
      </x:c>
      <x:c r="C26" s="30" t="str">
        <x:v>Verify ETF catalogue data completeness</x:v>
      </x:c>
      <x:c r="D26" s="30" t="str">
        <x:v>Authenticated user can access ETF catalogue.</x:v>
      </x:c>
      <x:c r="E26" s="30" t="str">
        <x:v>1. Open ETF catalogue.
2. Inspect several listed ETFs.
3. Check name, ticker, price, risk level, expense ratio, and provider.</x:v>
      </x:c>
      <x:c r="F26" s="30" t="str">
        <x:v>Required ETF attributes are present, readable, and consistent between catalogue and details.</x:v>
      </x:c>
      <x:c r="G26" s="30" t="str"/>
      <x:c r="H26" s="30" t="str">
        <x:v>Not Run</x:v>
      </x:c>
      <x:c r="I26" s="30" t="str">
        <x:v>P1</x:v>
      </x:c>
      <x:c r="J26" s="30" t="str">
        <x:v>Functional / Data Quality</x:v>
      </x:c>
      <x:c r="K26" s="30" t="str"/>
    </x:row>
    <x:row r="27">
      <x:c r="A27" s="30" t="str">
        <x:v>ETF-02</x:v>
      </x:c>
      <x:c r="B27" s="30" t="str">
        <x:v>ETF Search</x:v>
      </x:c>
      <x:c r="C27" s="30" t="str">
        <x:v>Search ETF catalogue using valid, partial, invalid and case-varied terms</x:v>
      </x:c>
      <x:c r="D27" s="30" t="str">
        <x:v>ETF catalogue is accessible.</x:v>
      </x:c>
      <x:c r="E27" s="30" t="str">
        <x:v>1. Search an exact valid ETF/ticker.
2. Search a partial name.
3. Search same term using different case.
4. Search an invalid/random term.
5. Clear search.</x:v>
      </x:c>
      <x:c r="F27" s="30" t="str">
        <x:v>Relevant results are returned for valid/partial searches, case handling is consistent, invalid search produces a clear no-results state, and clearing restores catalogue.</x:v>
      </x:c>
      <x:c r="G27" s="30" t="str"/>
      <x:c r="H27" s="30" t="str">
        <x:v>Not Run</x:v>
      </x:c>
      <x:c r="I27" s="30" t="str">
        <x:v>P2</x:v>
      </x:c>
      <x:c r="J27" s="30" t="str">
        <x:v>Functional / UI-UX</x:v>
      </x:c>
      <x:c r="K27" s="30" t="str"/>
    </x:row>
    <x:row r="28">
      <x:c r="A28" s="30" t="str">
        <x:v>ETF-03</x:v>
      </x:c>
      <x:c r="B28" s="30" t="str">
        <x:v>ETF Details</x:v>
      </x:c>
      <x:c r="C28" s="30" t="str">
        <x:v>Verify ETF details page information</x:v>
      </x:c>
      <x:c r="D28" s="30" t="str">
        <x:v>At least one ETF is accessible.</x:v>
      </x:c>
      <x:c r="E28" s="30" t="str">
        <x:v>1. Open an ETF.
2. Review price, performance, description, risk, expense ratio, geographic allocation, and sector allocation.
3. Compare shared fields with catalogue.</x:v>
      </x:c>
      <x:c r="F28" s="30" t="str">
        <x:v>ETF details are complete where supported and shared values remain consistent with the catalogue.</x:v>
      </x:c>
      <x:c r="G28" s="30" t="str"/>
      <x:c r="H28" s="30" t="str">
        <x:v>Not Run</x:v>
      </x:c>
      <x:c r="I28" s="30" t="str">
        <x:v>P1</x:v>
      </x:c>
      <x:c r="J28" s="30" t="str">
        <x:v>Functional / Data Quality</x:v>
      </x:c>
      <x:c r="K28" s="30" t="str"/>
    </x:row>
    <x:row r="29">
      <x:c r="A29" s="30" t="str">
        <x:v>ELIG-01</x:v>
      </x:c>
      <x:c r="B29" s="30" t="str">
        <x:v>ETF Eligibility</x:v>
      </x:c>
      <x:c r="C29" s="30" t="str">
        <x:v>Verify country-based ETF eligibility for Germany, UAE, Saudi Arabia and USA</x:v>
      </x:c>
      <x:c r="D29" s="30" t="str">
        <x:v>Authorized test accounts or configurable profiles are available for required countries.</x:v>
      </x:c>
      <x:c r="E29" s="30" t="str">
        <x:v>1. Set/use Germany account and record available ETFs.
2. Repeat for UAE, Saudi Arabia and USA.
3. Compare against configured business rules.</x:v>
      </x:c>
      <x:c r="F29" s="30" t="str">
        <x:v>Each user only sees and can access ETFs allowed for that user's country; restricted products are not exposed or purchasable.</x:v>
      </x:c>
      <x:c r="G29" s="30" t="str"/>
      <x:c r="H29" s="30" t="str">
        <x:v>Not Run</x:v>
      </x:c>
      <x:c r="I29" s="30" t="str">
        <x:v>P0</x:v>
      </x:c>
      <x:c r="J29" s="30" t="str">
        <x:v>Business Rules / Security</x:v>
      </x:c>
      <x:c r="K29" s="30" t="str"/>
    </x:row>
    <x:row r="30">
      <x:c r="A30" s="30" t="str">
        <x:v>SUB-01</x:v>
      </x:c>
      <x:c r="B30" s="30" t="str">
        <x:v>Subscription Access</x:v>
      </x:c>
      <x:c r="C30" s="30" t="str">
        <x:v>Verify FREE and PREMIUM feature/product access</x:v>
      </x:c>
      <x:c r="D30" s="30" t="str">
        <x:v>FREE and PREMIUM test accounts or authorized subscription change are available.</x:v>
      </x:c>
      <x:c r="E30" s="30" t="str">
        <x:v>1. Sign in as FREE user and record restricted/available products and features.
2. Repeat as PREMIUM user.
3. Compare behavior.</x:v>
      </x:c>
      <x:c r="F30" s="30" t="str">
        <x:v>FREE users are blocked from premium-only features/products; PREMIUM users receive intended access; labels and messaging are consistent.</x:v>
      </x:c>
      <x:c r="G30" s="30" t="str"/>
      <x:c r="H30" s="30" t="str">
        <x:v>Not Run</x:v>
      </x:c>
      <x:c r="I30" s="30" t="str">
        <x:v>P0</x:v>
      </x:c>
      <x:c r="J30" s="30" t="str">
        <x:v>Business Rules / Authorization</x:v>
      </x:c>
      <x:c r="K30" s="30" t="str"/>
    </x:row>
    <x:row r="31">
      <x:c r="A31" s="30" t="str">
        <x:v>INV-01</x:v>
      </x:c>
      <x:c r="B31" s="30" t="str">
        <x:v>ETF Investment</x:v>
      </x:c>
      <x:c r="C31" s="30" t="str">
        <x:v>Complete valid ETF investment end-to-end</x:v>
      </x:c>
      <x:c r="D31" s="30" t="str">
        <x:v>Authenticated eligible user; sufficient cash; investable ETF available.</x:v>
      </x:c>
      <x:c r="E31" s="30" t="str">
        <x:v>1. Select eligible ETF.
2. Open details.
3. Select Invest.
4. Enter valid amount.
5. Review.
6. Confirm.
7. Verify transaction, portfolio and balance.</x:v>
      </x:c>
      <x:c r="F31" s="30" t="str">
        <x:v>Exactly one investment is created; confirmation is clear; cash, holdings, portfolio and transaction history update accurately and consistently.</x:v>
      </x:c>
      <x:c r="G31" s="30" t="str"/>
      <x:c r="H31" s="30" t="str">
        <x:v>Not Run</x:v>
      </x:c>
      <x:c r="I31" s="30" t="str">
        <x:v>P0</x:v>
      </x:c>
      <x:c r="J31" s="30" t="str">
        <x:v>End-to-End / Financial</x:v>
      </x:c>
      <x:c r="K31" s="30" t="str"/>
    </x:row>
    <x:row r="32">
      <x:c r="A32" s="30" t="str">
        <x:v>INV-02</x:v>
      </x:c>
      <x:c r="B32" s="30" t="str">
        <x:v>ETF Investment</x:v>
      </x:c>
      <x:c r="C32" s="30" t="str">
        <x:v>Validate investment amount boundaries</x:v>
      </x:c>
      <x:c r="D32" s="30" t="str">
        <x:v>Eligible user is on investment amount step.</x:v>
      </x:c>
      <x:c r="E32" s="30" t="str">
        <x:v>1. Try 0.
2. Try negative value if possible.
3. Try a valid decimal.
4. Try very large/above-balance amount.</x:v>
      </x:c>
      <x:c r="F32" s="30" t="str">
        <x:v>Zero/negative/insufficient values are rejected; valid decimal handling follows business rules; no invalid transaction is created.</x:v>
      </x:c>
      <x:c r="G32" s="30" t="str"/>
      <x:c r="H32" s="30" t="str">
        <x:v>Not Run</x:v>
      </x:c>
      <x:c r="I32" s="30" t="str">
        <x:v>P0</x:v>
      </x:c>
      <x:c r="J32" s="30" t="str">
        <x:v>Boundary / Financial</x:v>
      </x:c>
      <x:c r="K32" s="30" t="str"/>
    </x:row>
    <x:row r="33">
      <x:c r="A33" s="30" t="str">
        <x:v>INV-03</x:v>
      </x:c>
      <x:c r="B33" s="30" t="str">
        <x:v>ETF Investment</x:v>
      </x:c>
      <x:c r="C33" s="30" t="str">
        <x:v>Prevent investment in restricted ETF or by unauthorized user</x:v>
      </x:c>
      <x:c r="D33" s="30" t="str">
        <x:v>Restricted ETF and/or ineligible account is available for authorized test.</x:v>
      </x:c>
      <x:c r="E33" s="30" t="str">
        <x:v>1. Attempt restricted investment from UI.
2. If an authorized API endpoint is known, attempt the equivalent request using the same ineligible account.</x:v>
      </x:c>
      <x:c r="F33" s="30" t="str">
        <x:v>Restriction is enforced server-side as well as in UI; purchase is denied and no transaction/holding is created.</x:v>
      </x:c>
      <x:c r="G33" s="30" t="str"/>
      <x:c r="H33" s="30" t="str">
        <x:v>Not Run</x:v>
      </x:c>
      <x:c r="I33" s="30" t="str">
        <x:v>P0</x:v>
      </x:c>
      <x:c r="J33" s="30" t="str">
        <x:v>Security / Authorization</x:v>
      </x:c>
      <x:c r="K33" s="30" t="str"/>
    </x:row>
    <x:row r="34">
      <x:c r="A34" s="30" t="str">
        <x:v>INV-04</x:v>
      </x:c>
      <x:c r="B34" s="30" t="str">
        <x:v>ETF Investment</x:v>
      </x:c>
      <x:c r="C34" s="30" t="str">
        <x:v>Prevent duplicate investment on repeated submission/refresh</x:v>
      </x:c>
      <x:c r="D34" s="30" t="str">
        <x:v>Eligible user can reach final investment confirmation.</x:v>
      </x:c>
      <x:c r="E34" s="30" t="str">
        <x:v>1. Submit confirmation once.
2. Rapidly click/submit again if safely possible, or refresh/back after confirmation.
3. Review transactions and balances.</x:v>
      </x:c>
      <x:c r="F34" s="30" t="str">
        <x:v>Only one transaction is created for a single intended action; refresh/back/repeated submission does not duplicate the investment.</x:v>
      </x:c>
      <x:c r="G34" s="30" t="str"/>
      <x:c r="H34" s="30" t="str">
        <x:v>Not Run</x:v>
      </x:c>
      <x:c r="I34" s="30" t="str">
        <x:v>P0</x:v>
      </x:c>
      <x:c r="J34" s="30" t="str">
        <x:v>Financial / Reliability</x:v>
      </x:c>
      <x:c r="K34" s="30" t="str"/>
    </x:row>
    <x:row r="35">
      <x:c r="A35" s="30" t="str">
        <x:v>TXN-01</x:v>
      </x:c>
      <x:c r="B35" s="30" t="str">
        <x:v>Transaction History</x:v>
      </x:c>
      <x:c r="C35" s="30" t="str">
        <x:v>Verify transaction history correctness and uniqueness</x:v>
      </x:c>
      <x:c r="D35" s="30" t="str">
        <x:v>Account contains test transactions.</x:v>
      </x:c>
      <x:c r="E35" s="30" t="str">
        <x:v>1. Open transaction history.
2. Compare recent test transactions with wallet/investment confirmations.
3. Verify amount, asset, type, status, date/time, and user ownership.
4. Check duplicates/missing entries.</x:v>
      </x:c>
      <x:c r="F35" s="30" t="str">
        <x:v>Every legitimate transaction appears once with correct details and belongs only to the authenticated user.</x:v>
      </x:c>
      <x:c r="G35" s="30" t="str"/>
      <x:c r="H35" s="30" t="str">
        <x:v>Not Run</x:v>
      </x:c>
      <x:c r="I35" s="30" t="str">
        <x:v>P0</x:v>
      </x:c>
      <x:c r="J35" s="30" t="str">
        <x:v>Functional / Data Integrity</x:v>
      </x:c>
      <x:c r="K35" s="30" t="str"/>
    </x:row>
    <x:row r="36">
      <x:c r="A36" s="30" t="str">
        <x:v>API-01</x:v>
      </x:c>
      <x:c r="B36" s="30" t="str">
        <x:v>API</x:v>
      </x:c>
      <x:c r="C36" s="30" t="str">
        <x:v>Test authentication API with valid, invalid and missing authentication</x:v>
      </x:c>
      <x:c r="D36" s="30" t="str">
        <x:v>Authorized API endpoint(s) identified in Postman/DevTools.</x:v>
      </x:c>
      <x:c r="E36" s="30" t="str">
        <x:v>1. Send valid authentication request.
2. Send invalid credentials/token request.
3. Send request without required authentication.
4. Record response body and status.</x:v>
      </x:c>
      <x:c r="F36" s="30" t="str">
        <x:v>Valid request succeeds appropriately; invalid/missing auth is rejected with correct 4xx behavior; no sensitive credentials or secrets are exposed.</x:v>
      </x:c>
      <x:c r="G36" s="30" t="str"/>
      <x:c r="H36" s="30" t="str">
        <x:v>Not Run</x:v>
      </x:c>
      <x:c r="I36" s="30" t="str">
        <x:v>P0</x:v>
      </x:c>
      <x:c r="J36" s="30" t="str">
        <x:v>API / Security</x:v>
      </x:c>
      <x:c r="K36" s="30" t="str"/>
    </x:row>
    <x:row r="37">
      <x:c r="A37" s="30" t="str">
        <x:v>API-02</x:v>
      </x:c>
      <x:c r="B37" s="30" t="str">
        <x:v>API</x:v>
      </x:c>
      <x:c r="C37" s="30" t="str">
        <x:v>Validate ETF/portfolio/investment API parameters and data types</x:v>
      </x:c>
      <x:c r="D37" s="30" t="str">
        <x:v>Relevant authorized endpoints are known.</x:v>
      </x:c>
      <x:c r="E37" s="30" t="str">
        <x:v>1. Send a valid request.
2. Repeat with missing required parameter.
3. Invalid ID.
4. Incorrect data type.
5. Boundary amount/value where applicable.</x:v>
      </x:c>
      <x:c r="F37" s="30" t="str">
        <x:v>API returns appropriate success/error status codes and structured validation errors; invalid input does not create or corrupt data.</x:v>
      </x:c>
      <x:c r="G37" s="30" t="str"/>
      <x:c r="H37" s="30" t="str">
        <x:v>Not Run</x:v>
      </x:c>
      <x:c r="I37" s="30" t="str">
        <x:v>P1</x:v>
      </x:c>
      <x:c r="J37" s="30" t="str">
        <x:v>API / Negative</x:v>
      </x:c>
      <x:c r="K37" s="30" t="str"/>
    </x:row>
    <x:row r="38">
      <x:c r="A38" s="30" t="str">
        <x:v>SEC-01</x:v>
      </x:c>
      <x:c r="B38" s="30" t="str">
        <x:v>API Security</x:v>
      </x:c>
      <x:c r="C38" s="30" t="str">
        <x:v>Check horizontal authorization / IDOR using two authorized test users</x:v>
      </x:c>
      <x:c r="D38" s="30" t="str">
        <x:v>Two explicitly authorized test accounts and a user-specific resource endpoint are available.</x:v>
      </x:c>
      <x:c r="E38" s="30" t="str">
        <x:v>1. Authenticate as User A.
2. Request User A resource and record behavior.
3. Substitute User B's valid test resource/user ID in the same authorized endpoint.
4. Do not modify/delete data.</x:v>
      </x:c>
      <x:c r="F38" s="30" t="str">
        <x:v>User A cannot view User B's portfolio, transactions, profile, or other private resources. Request is denied without leaking sensitive information.</x:v>
      </x:c>
      <x:c r="G38" s="30" t="str"/>
      <x:c r="H38" s="30" t="str">
        <x:v>Not Run</x:v>
      </x:c>
      <x:c r="I38" s="30" t="str">
        <x:v>P0</x:v>
      </x:c>
      <x:c r="J38" s="30" t="str">
        <x:v>Security / Authorization</x:v>
      </x:c>
      <x:c r="K38" s="30" t="str"/>
    </x:row>
    <x:row r="39">
      <x:c r="A39" s="30" t="str">
        <x:v>UI-01</x:v>
      </x:c>
      <x:c r="B39" s="30" t="str">
        <x:v>UI/UX &amp; Compatibility</x:v>
      </x:c>
      <x:c r="C39" s="30" t="str">
        <x:v>Verify responsive layout and core navigation on desktop and mobile viewport</x:v>
      </x:c>
      <x:c r="D39" s="30" t="str">
        <x:v>Application is accessible in Chrome; responsive DevTools available.</x:v>
      </x:c>
      <x:c r="E39" s="30" t="str">
        <x:v>1. Test key pages at desktop viewport.
2. Repeat at representative mobile viewport.
3. Check menus, buttons, forms, tables/cards, scrolling, loading/empty/error states.
4. Repeat critical navigation in Edge or Firefox if available.</x:v>
      </x:c>
      <x:c r="F39" s="30" t="str">
        <x:v>Core controls remain visible and usable; no clipped/overlapping content blocks critical actions; navigation and key workflows behave consistently across tested views/browsers.</x:v>
      </x:c>
      <x:c r="G39" s="30" t="str"/>
      <x:c r="H39" s="30" t="str">
        <x:v>Not Run</x:v>
      </x:c>
      <x:c r="I39" s="30" t="str">
        <x:v>P2</x:v>
      </x:c>
      <x:c r="J39" s="30" t="str">
        <x:v>UI-UX / Responsive / Cross-browser</x:v>
      </x:c>
      <x:c r="K39" s="30" t="str"/>
    </x:row>
  </x:sheetData>
  <x:mergeCells>
    <x:mergeCell ref="A1:K1"/>
    <x:mergeCell ref="A2:K2"/>
  </x:mergeCells>
  <x:conditionalFormatting sqref="H5:H39">
    <x:cfRule type="expression" dxfId="0" priority="1">
      <x:formula>H5="Passed"</x:formula>
    </x:cfRule>
    <x:cfRule type="expression" dxfId="1" priority="2">
      <x:formula>H5="Failed"</x:formula>
    </x:cfRule>
    <x:cfRule type="expression" dxfId="2" priority="3">
      <x:formula>H5="Blocked"</x:formula>
    </x:cfRule>
    <x:cfRule type="expression" dxfId="3" priority="4">
      <x:formula>H5="Not Run"</x:formula>
    </x:cfRule>
  </x:conditionalFormatting>
  <x:dataValidations count="2">
    <x:dataValidation type="list" sqref="H5:H39">
      <x:formula1>"Not Run,Passed,Failed,Blocked"</x:formula1>
    </x:dataValidation>
    <x:dataValidation type="list" sqref="I5:I3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bc68602564b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44" hidden="0" customWidth="1"/>
  </x:cols>
  <x:sheetData>
    <x:row r="1">
      <x:c r="A1" s="5" t="str">
        <x:v>AURIX QA TEST CASE SUMMARY</x:v>
      </x:c>
      <x:c r="B1" s="5"/>
      <x:c r="C1" s="5"/>
      <x:c r="D1" s="5"/>
      <x:c r="E1" s="5"/>
      <x:c r="F1" s="5"/>
    </x:row>
    <x:row r="3">
      <x:c r="A3" s="40" t="str">
        <x:v>Metric</x:v>
      </x:c>
      <x:c r="B3" s="40" t="str">
        <x:v>Count</x:v>
      </x:c>
      <x:c r="C3" s="28"/>
      <x:c r="D3" s="40" t="str">
        <x:v>Status</x:v>
      </x:c>
      <x:c r="E3" s="40" t="str">
        <x:v>Count</x:v>
      </x:c>
      <x:c r="F3" s="40" t="str">
        <x:v>Meaning</x:v>
      </x:c>
    </x:row>
    <x:row r="4">
      <x:c r="A4" s="28" t="str">
        <x:v>Total Test Cases</x:v>
      </x:c>
      <x:c r="B4" s="28" t="n">
        <x:v>35</x:v>
      </x:c>
      <x:c r="C4" s="28"/>
      <x:c r="D4" s="28" t="str">
        <x:v>Not Run</x:v>
      </x:c>
      <x:c r="E4" s="28" t="n">
        <x:f>COUNTIF('Test Cases'!H5:H39,"Not Run")</x:f>
        <x:v>35</x:v>
      </x:c>
      <x:c r="F4" s="28" t="str">
        <x:v>Documented but not yet executed</x:v>
      </x:c>
    </x:row>
    <x:row r="5">
      <x:c r="A5" s="28" t="str">
        <x:v>P0 - Critical Priority</x:v>
      </x:c>
      <x:c r="B5" s="28" t="n">
        <x:f>COUNTIF('Test Cases'!I5:I39,"P0")</x:f>
        <x:v>18</x:v>
      </x:c>
      <x:c r="C5" s="28"/>
      <x:c r="D5" s="28" t="str">
        <x:v>Passed</x:v>
      </x:c>
      <x:c r="E5" s="28" t="n">
        <x:f>COUNTIF('Test Cases'!H5:H39,"Passed")</x:f>
        <x:v>0</x:v>
      </x:c>
      <x:c r="F5" s="28" t="str">
        <x:v>Expected and actual results match</x:v>
      </x:c>
    </x:row>
    <x:row r="6">
      <x:c r="A6" s="28" t="str">
        <x:v>P1 - High Priority</x:v>
      </x:c>
      <x:c r="B6" s="28" t="n">
        <x:f>COUNTIF('Test Cases'!I5:I39,"P1")</x:f>
        <x:v>7</x:v>
      </x:c>
      <x:c r="C6" s="28"/>
      <x:c r="D6" s="28" t="str">
        <x:v>Failed</x:v>
      </x:c>
      <x:c r="E6" s="28" t="n">
        <x:f>COUNTIF('Test Cases'!H5:H39,"Failed")</x:f>
        <x:v>0</x:v>
      </x:c>
      <x:c r="F6" s="28" t="str">
        <x:v>Observed defect / mismatch</x:v>
      </x:c>
    </x:row>
    <x:row r="7">
      <x:c r="A7" s="28" t="str">
        <x:v>P2 - Medium Priority</x:v>
      </x:c>
      <x:c r="B7" s="28" t="n">
        <x:f>COUNTIF('Test Cases'!I5:I39,"P2")</x:f>
        <x:v>10</x:v>
      </x:c>
      <x:c r="C7" s="28"/>
      <x:c r="D7" s="28" t="str">
        <x:v>Blocked</x:v>
      </x:c>
      <x:c r="E7" s="28" t="n">
        <x:f>COUNTIF('Test Cases'!H5:H39,"Blocked")</x:f>
        <x:v>0</x:v>
      </x:c>
      <x:c r="F7" s="28" t="str">
        <x:v>Cannot execute due to dependency/environment</x:v>
      </x:c>
    </x:row>
    <x:row r="8">
      <x:c r="A8" s="28" t="str">
        <x:v>P3 - Low Priority</x:v>
      </x:c>
      <x:c r="B8" s="28" t="n">
        <x:f>COUNTIF('Test Cases'!I5:I39,"P3")</x:f>
        <x:v>0</x:v>
      </x:c>
      <x:c r="C8" s="28"/>
      <x:c r="D8" s="28"/>
      <x:c r="E8" s="28"/>
      <x:c r="F8" s="28"/>
    </x:row>
    <x:row r="9">
      <x:c r="A9" s="28"/>
      <x:c r="B9" s="28"/>
      <x:c r="C9" s="28"/>
      <x:c r="D9" s="28"/>
      <x:c r="E9" s="28"/>
      <x:c r="F9" s="28"/>
    </x:row>
    <x:row r="10">
      <x:c r="A10" s="41" t="str">
        <x:v>Module / Coverage Area</x:v>
      </x:c>
      <x:c r="B10" s="41" t="str">
        <x:v>Planned Cases</x:v>
      </x:c>
      <x:c r="C10" s="28"/>
      <x:c r="D10" s="41" t="str">
        <x:v>Execution Guidance</x:v>
      </x:c>
      <x:c r="E10" s="41"/>
      <x:c r="F10" s="41"/>
    </x:row>
    <x:row r="11">
      <x:c r="A11" s="28" t="str">
        <x:v>Registration</x:v>
      </x:c>
      <x:c r="B11" s="28" t="n">
        <x:v>7</x:v>
      </x:c>
      <x:c r="C11" s="28"/>
      <x:c r="D11" s="40" t="str">
        <x:v>Priority</x:v>
      </x:c>
      <x:c r="E11" s="40" t="str">
        <x:v>Focus</x:v>
      </x:c>
      <x:c r="F11" s="40" t="str">
        <x:v>Guidance</x:v>
      </x:c>
    </x:row>
    <x:row r="12">
      <x:c r="A12" s="28" t="str">
        <x:v>Login &amp; Session</x:v>
      </x:c>
      <x:c r="B12" s="28" t="n">
        <x:v>5</x:v>
      </x:c>
      <x:c r="C12" s="28"/>
      <x:c r="D12" s="28" t="str">
        <x:v>P0</x:v>
      </x:c>
      <x:c r="E12" s="28" t="str">
        <x:v>Critical</x:v>
      </x:c>
      <x:c r="F12" s="28" t="str">
        <x:v>Execute first; financial/security/access-control risks.</x:v>
      </x:c>
    </x:row>
    <x:row r="13">
      <x:c r="A13" s="28" t="str">
        <x:v>User Profile</x:v>
      </x:c>
      <x:c r="B13" s="28" t="n">
        <x:v>2</x:v>
      </x:c>
      <x:c r="C13" s="28"/>
      <x:c r="D13" s="28" t="str">
        <x:v>P1</x:v>
      </x:c>
      <x:c r="E13" s="28" t="str">
        <x:v>High</x:v>
      </x:c>
      <x:c r="F13" s="28" t="str">
        <x:v>Execute after P0; major functional/business-rule coverage.</x:v>
      </x:c>
    </x:row>
    <x:row r="14">
      <x:c r="A14" s="28" t="str">
        <x:v>Dashboard</x:v>
      </x:c>
      <x:c r="B14" s="28" t="n">
        <x:v>2</x:v>
      </x:c>
      <x:c r="C14" s="28"/>
      <x:c r="D14" s="28" t="str">
        <x:v>P2</x:v>
      </x:c>
      <x:c r="E14" s="28" t="str">
        <x:v>Medium</x:v>
      </x:c>
      <x:c r="F14" s="28" t="str">
        <x:v>Execute after critical/high-risk paths.</x:v>
      </x:c>
    </x:row>
    <x:row r="15">
      <x:c r="A15" s="28" t="str">
        <x:v>Gold Wallet</x:v>
      </x:c>
      <x:c r="B15" s="28" t="n">
        <x:v>3</x:v>
      </x:c>
      <x:c r="C15" s="28"/>
      <x:c r="D15" s="28" t="str">
        <x:v>P3</x:v>
      </x:c>
      <x:c r="E15" s="28" t="str">
        <x:v>Low</x:v>
      </x:c>
      <x:c r="F15" s="28" t="str">
        <x:v>Cosmetic/low-impact scenarios if time permits.</x:v>
      </x:c>
    </x:row>
    <x:row r="16">
      <x:c r="A16" s="28" t="str">
        <x:v>Silver Wallet</x:v>
      </x:c>
      <x:c r="B16" s="28" t="n">
        <x:v>2</x:v>
      </x:c>
      <x:c r="C16" s="28"/>
      <x:c r="D16" s="28" t="str">
        <x:v>Note</x:v>
      </x:c>
      <x:c r="E16" s="28" t="str">
        <x:v>Evidence</x:v>
      </x:c>
      <x:c r="F16" s="28" t="str">
        <x:v>Capture screenshots/logs for significant failures and selected critical passes.</x:v>
      </x:c>
    </x:row>
    <x:row r="17">
      <x:c r="A17" s="28" t="str">
        <x:v>ETF Catalogue/Search/Details</x:v>
      </x:c>
      <x:c r="B17" s="28" t="n">
        <x:v>3</x:v>
      </x:c>
      <x:c r="C17" s="28"/>
      <x:c r="D17" s="28"/>
      <x:c r="E17" s="28"/>
      <x:c r="F17" s="28"/>
    </x:row>
    <x:row r="18">
      <x:c r="A18" s="28" t="str">
        <x:v>Eligibility &amp; Subscription</x:v>
      </x:c>
      <x:c r="B18" s="28" t="n">
        <x:v>2</x:v>
      </x:c>
      <x:c r="C18" s="28"/>
      <x:c r="D18" s="28"/>
      <x:c r="E18" s="28"/>
      <x:c r="F18" s="28"/>
    </x:row>
    <x:row r="19">
      <x:c r="A19" s="28" t="str">
        <x:v>ETF Investment</x:v>
      </x:c>
      <x:c r="B19" s="28" t="n">
        <x:v>4</x:v>
      </x:c>
      <x:c r="C19" s="28"/>
      <x:c r="D19" s="28"/>
      <x:c r="E19" s="28"/>
      <x:c r="F19" s="28"/>
    </x:row>
    <x:row r="20">
      <x:c r="A20" s="28" t="str">
        <x:v>Transaction History</x:v>
      </x:c>
      <x:c r="B20" s="28" t="n">
        <x:v>1</x:v>
      </x:c>
      <x:c r="C20" s="28"/>
      <x:c r="D20" s="28"/>
      <x:c r="E20" s="28"/>
      <x:c r="F20" s="28"/>
    </x:row>
    <x:row r="21">
      <x:c r="A21" s="28" t="str">
        <x:v>API + API Security</x:v>
      </x:c>
      <x:c r="B21" s="28" t="n">
        <x:v>3</x:v>
      </x:c>
      <x:c r="C21" s="28"/>
      <x:c r="D21" s="28"/>
      <x:c r="E21" s="28"/>
      <x:c r="F21" s="28"/>
    </x:row>
    <x:row r="22">
      <x:c r="A22" s="28" t="str">
        <x:v>UI/UX &amp; Compatibility</x:v>
      </x:c>
      <x:c r="B22" s="28" t="n">
        <x:v>1</x:v>
      </x:c>
      <x:c r="C22" s="28"/>
      <x:c r="D22" s="28"/>
      <x:c r="E22" s="28"/>
      <x:c r="F22" s="28"/>
    </x:row>
  </x:sheetData>
  <x:mergeCells>
    <x:mergeCell ref="A1:F1"/>
    <x:mergeCell ref="D10:F10"/>
  </x:mergeCells>
  <x:pageMargins left="0.7" right="0.7" top="0.75" bottom="0.75" header="0.3" footer="0.3"/>
</x:worksheet>
</file>